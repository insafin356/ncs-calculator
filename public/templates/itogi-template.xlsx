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СМЕТНОЕ ДЕЛО\ПОЛЕЗНОЕ\Калькулятор 2026\Движок Инсаф\"/>
    </mc:Choice>
  </mc:AlternateContent>
  <xr:revisionPtr revIDLastSave="0" documentId="8_{0551B179-D456-4CEF-94BC-E9A5679E996C}" xr6:coauthVersionLast="47" xr6:coauthVersionMax="47" xr10:uidLastSave="{00000000-0000-0000-0000-000000000000}"/>
  <bookViews>
    <workbookView xWindow="-108" yWindow="-108" windowWidth="23256" windowHeight="13896" xr2:uid="{87225721-8AAD-4CED-AEAD-8D48CAFAE4EA}"/>
  </bookViews>
  <sheets>
    <sheet name="Итоги" sheetId="1" r:id="rId1"/>
  </sheets>
  <definedNames>
    <definedName name="rngTreeAreaTypeList" hidden="1">#REF!</definedName>
    <definedName name="_xlnm.Print_Titles" localSheetId="0">Итоги!$14:$14</definedName>
    <definedName name="_xlnm.Print_Area" localSheetId="0">Итоги!$A$1:$F$42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<sst xmlns="http://schemas.openxmlformats.org/spreadsheetml/2006/main" count="53" uniqueCount="50">
  <si>
    <t>Приложение № 2</t>
  </si>
  <si>
    <t>к договору №2400-000050-ТП о подключении</t>
  </si>
  <si>
    <t>(технологическом присоединении)</t>
  </si>
  <si>
    <t>газоиспользующего оборудования</t>
  </si>
  <si>
    <t>и объектов капитального строительства</t>
  </si>
  <si>
    <t>к сети газораспределения</t>
  </si>
  <si>
    <t xml:space="preserve">Предварительный расчет платы за технологическое присоединение по объекту: </t>
  </si>
  <si>
    <t>"Строительство газопровода до границы земельного участка с кадастровым номером _________________"</t>
  </si>
  <si>
    <t>№ п/п</t>
  </si>
  <si>
    <t>Номера сметных расчетов и смет</t>
  </si>
  <si>
    <t>Наименование глав, объектов, работ и затрат</t>
  </si>
  <si>
    <t>Сметная стоимость, тыс. руб.</t>
  </si>
  <si>
    <t>Общая сметная стоимость, тыс. руб.</t>
  </si>
  <si>
    <t>строитель-
ных работ</t>
  </si>
  <si>
    <t>прочих затрат</t>
  </si>
  <si>
    <t>Глава 2. Основные объекты строительства</t>
  </si>
  <si>
    <t>1</t>
  </si>
  <si>
    <t>Укрупненный расчет стоимости СМР</t>
  </si>
  <si>
    <t>Наружный газопровод</t>
  </si>
  <si>
    <t>Итого по Главе 2. "Основные объекты строительства"</t>
  </si>
  <si>
    <t>Итого по Главам 1-2</t>
  </si>
  <si>
    <t>Глава 12. Публичный технологический и ценовой аудит, проектные и изыскательские работы</t>
  </si>
  <si>
    <t>2</t>
  </si>
  <si>
    <t>Укрупненный расчет стоимости ПИР</t>
  </si>
  <si>
    <t>Проектные и изыскательские работы</t>
  </si>
  <si>
    <t>3</t>
  </si>
  <si>
    <t>Авторский надзор - 0,2%</t>
  </si>
  <si>
    <t>Итого по Главе 12. "Публичный технологический и ценовой аудит, проектные и изыскательские работы"</t>
  </si>
  <si>
    <t>Итого по Главам 1-12</t>
  </si>
  <si>
    <t>Налоги и обязательные платежи</t>
  </si>
  <si>
    <t>4</t>
  </si>
  <si>
    <t>Приказ ФАС России от 16.08.2018 №1151/18 (ред. От 11.11.2021)</t>
  </si>
  <si>
    <t>Налог на прибыль - 25%</t>
  </si>
  <si>
    <t>5</t>
  </si>
  <si>
    <t>№ 303-ФЗ от 03.08.2018</t>
  </si>
  <si>
    <t>НДС - 22%</t>
  </si>
  <si>
    <t>Итого "Налоги и обязательные платежи"</t>
  </si>
  <si>
    <t>Итого по сводному расчету</t>
  </si>
  <si>
    <t>Кроме того, работы по проверке выполнения заявителем технических условий и осуществления фактического подключения (технологического присоединения)</t>
  </si>
  <si>
    <t>Параметры газопровода в точке подключения задаются на вкладке «Расчет» в блоке «ТОЧКА ПОДКЛЮЧЕНИЯ».</t>
  </si>
  <si>
    <t>Приказ ФАС России от 16.08.2018 N 1151/18, Постановление Государственного комитета Республики Татарстан по тарифам от 16.12.2025 № 583-194/тп-2025</t>
  </si>
  <si>
    <t>Мониторинг выполнения заявителем технических условий</t>
  </si>
  <si>
    <t>Осуществление фактического присоединения к газораспределительной сети ГРО</t>
  </si>
  <si>
    <t>Итого работы по проверке выполнения заявителем технических условий 
и осуществления фактического подключения (технологического присоединения)</t>
  </si>
  <si>
    <t>Итого работы по мониторингу выполнения заявителем технических условий 
и осуществления фактического подключения (технологического присоединения) с учетом НДС</t>
  </si>
  <si>
    <t>ВСЕГО ПО РАСЧЕТУ</t>
  </si>
  <si>
    <r>
      <t xml:space="preserve">Заместитель генерального директора
по ремонту и капитальному строительству 
ООО "Газпром трансгаз Казань"
</t>
    </r>
    <r>
      <rPr>
        <b/>
        <sz val="8"/>
        <color rgb="FF000000"/>
        <rFont val="Arial"/>
        <family val="2"/>
        <charset val="204"/>
      </rPr>
      <t xml:space="preserve">
Р.Ф. Хамматов</t>
    </r>
  </si>
  <si>
    <t xml:space="preserve">ПРИМЕЧАНИЕ
В предварительном расчете платы за технологическое присоединение не учтены расходы, которые могут выявиться при согласовании схемы направления инженерных сетей, после выполнения инженерно-геодезических, инженерно-геологических и проектных работ.
Окончательная стоимость платы за технологическое присоединение по индивидуальному проекту рассчитывается после изготовления проекта по Приложению 2 к Методическим указаниям по расчету размера платы за технологическое присоединение  газоиспользующего оборудования к газораспределительным сетям и (или) размеров стандартизированных тарифных ставок, определяющих ее величину, утвержденных приказом Федеральной антимонопольной службы от 16.08.2018 №1151/18 и утверждается органом исполнительной власти в области государственного регулирования тарифов. </t>
  </si>
  <si>
    <t>п. 8.1.2.10.</t>
  </si>
  <si>
    <t>п. 9.1.2.10.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</si>
</sst>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8"/>
      <color rgb="FF000000"/>
      <name val="Arial"/>
      <family val="2"/>
      <charset val="204"/>
    </font>
    <font>
      <b/>
      <sz val="10"/>
      <color rgb="FF000000"/>
      <name val="Times New Roman"/>
      <family val="1"/>
      <charset val="204"/>
    </font>
    <font>
      <b/>
      <sz val="8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b/>
      <sz val="9"/>
      <color rgb="FF000000"/>
      <name val="Arial"/>
      <family val="2"/>
      <charset val="204"/>
    </font>
    <font>
      <b/>
      <sz val="8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family val="2"/>
      <charset val="204"/>
    </font>
    <font>
      <sz val="8"/>
      <color theme="5" tint="-0.249977111117893"/>
      <name val="Arial"/>
      <family val="2"/>
      <charset val="204"/>
    </font>
    <font>
      <i/>
      <sz val="8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2" fillId="0" borderId="0" xfId="1" applyFont="1"/>
    <xf numFmtId="0" fontId="3" fillId="0" borderId="0" xfId="0" applyFont="1"/>
    <xf numFmtId="0" fontId="3" fillId="0" borderId="0" xfId="1" applyFont="1"/>
    <xf numFmtId="0" fontId="3" fillId="0" borderId="0" xfId="1" applyFont="1" applyAlignment="1">
      <alignment horizontal="center"/>
    </xf>
    <xf numFmtId="0" fontId="3" fillId="2" borderId="0" xfId="0" applyFont="1" applyFill="1"/>
    <xf numFmtId="0" fontId="3" fillId="2" borderId="0" xfId="1" applyFont="1" applyFill="1"/>
    <xf numFmtId="0" fontId="3" fillId="2" borderId="0" xfId="1" applyFont="1" applyFill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/>
    <xf numFmtId="0" fontId="5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1" applyFont="1" applyAlignment="1">
      <alignment horizontal="center"/>
    </xf>
    <xf numFmtId="0" fontId="6" fillId="2" borderId="0" xfId="1" applyFont="1" applyFill="1" applyAlignment="1" applyProtection="1">
      <alignment horizontal="center" wrapText="1"/>
      <protection locked="0"/>
    </xf>
    <xf numFmtId="0" fontId="6" fillId="3" borderId="0" xfId="1" applyFont="1" applyFill="1" applyAlignment="1">
      <alignment horizontal="center" wrapText="1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49" fontId="2" fillId="0" borderId="5" xfId="1" applyNumberFormat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top" wrapText="1"/>
    </xf>
    <xf numFmtId="0" fontId="2" fillId="0" borderId="2" xfId="1" applyFont="1" applyBorder="1" applyAlignment="1">
      <alignment horizontal="center" vertical="top" wrapText="1"/>
    </xf>
    <xf numFmtId="0" fontId="7" fillId="0" borderId="7" xfId="1" applyFont="1" applyBorder="1" applyAlignment="1">
      <alignment horizontal="left" vertical="center" wrapText="1"/>
    </xf>
    <xf numFmtId="0" fontId="7" fillId="0" borderId="8" xfId="1" applyFont="1" applyBorder="1" applyAlignment="1">
      <alignment horizontal="left" vertical="center" wrapText="1"/>
    </xf>
    <xf numFmtId="0" fontId="7" fillId="0" borderId="9" xfId="1" applyFont="1" applyBorder="1" applyAlignment="1">
      <alignment horizontal="left" vertical="center" wrapText="1"/>
    </xf>
    <xf numFmtId="0" fontId="4" fillId="0" borderId="0" xfId="1" applyFont="1" applyAlignment="1">
      <alignment horizontal="center"/>
    </xf>
    <xf numFmtId="49" fontId="2" fillId="0" borderId="2" xfId="1" applyNumberFormat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4" fontId="2" fillId="0" borderId="2" xfId="1" applyNumberFormat="1" applyFont="1" applyBorder="1" applyAlignment="1">
      <alignment horizontal="right" vertical="top" wrapText="1"/>
    </xf>
    <xf numFmtId="0" fontId="2" fillId="0" borderId="2" xfId="1" applyFont="1" applyBorder="1" applyAlignment="1">
      <alignment horizontal="right" vertical="top" wrapText="1"/>
    </xf>
    <xf numFmtId="0" fontId="4" fillId="0" borderId="0" xfId="1" applyFont="1" applyAlignment="1">
      <alignment horizontal="center" vertical="center"/>
    </xf>
    <xf numFmtId="49" fontId="4" fillId="0" borderId="2" xfId="1" applyNumberFormat="1" applyFont="1" applyBorder="1"/>
    <xf numFmtId="0" fontId="4" fillId="0" borderId="7" xfId="1" applyFont="1" applyBorder="1" applyAlignment="1">
      <alignment horizontal="right" vertical="top" wrapText="1"/>
    </xf>
    <xf numFmtId="0" fontId="4" fillId="0" borderId="9" xfId="1" applyFont="1" applyBorder="1" applyAlignment="1">
      <alignment horizontal="right" vertical="top" wrapText="1"/>
    </xf>
    <xf numFmtId="4" fontId="4" fillId="0" borderId="2" xfId="1" applyNumberFormat="1" applyFont="1" applyBorder="1" applyAlignment="1">
      <alignment horizontal="right" vertical="top" wrapText="1"/>
    </xf>
    <xf numFmtId="0" fontId="4" fillId="0" borderId="2" xfId="1" applyFont="1" applyBorder="1" applyAlignment="1">
      <alignment horizontal="right" vertical="top"/>
    </xf>
    <xf numFmtId="4" fontId="4" fillId="0" borderId="2" xfId="1" applyNumberFormat="1" applyFont="1" applyBorder="1" applyAlignment="1">
      <alignment horizontal="right" vertical="top"/>
    </xf>
    <xf numFmtId="49" fontId="8" fillId="0" borderId="2" xfId="1" applyNumberFormat="1" applyFont="1" applyBorder="1"/>
    <xf numFmtId="4" fontId="8" fillId="0" borderId="2" xfId="1" applyNumberFormat="1" applyFont="1" applyBorder="1" applyAlignment="1">
      <alignment horizontal="right" vertical="top" wrapText="1"/>
    </xf>
    <xf numFmtId="4" fontId="8" fillId="0" borderId="2" xfId="1" applyNumberFormat="1" applyFont="1" applyBorder="1" applyAlignment="1">
      <alignment horizontal="right" vertical="top"/>
    </xf>
    <xf numFmtId="2" fontId="2" fillId="0" borderId="2" xfId="1" applyNumberFormat="1" applyFont="1" applyBorder="1" applyAlignment="1">
      <alignment horizontal="right" vertical="top" wrapText="1"/>
    </xf>
    <xf numFmtId="0" fontId="4" fillId="0" borderId="2" xfId="1" applyFont="1" applyBorder="1" applyAlignment="1">
      <alignment horizontal="right" vertical="top" wrapText="1"/>
    </xf>
    <xf numFmtId="0" fontId="9" fillId="0" borderId="7" xfId="1" applyFont="1" applyBorder="1" applyAlignment="1">
      <alignment horizontal="left" vertical="center" wrapText="1"/>
    </xf>
    <xf numFmtId="0" fontId="9" fillId="0" borderId="8" xfId="1" applyFont="1" applyBorder="1" applyAlignment="1">
      <alignment horizontal="left" vertical="center" wrapText="1"/>
    </xf>
    <xf numFmtId="0" fontId="9" fillId="0" borderId="9" xfId="1" applyFont="1" applyBorder="1" applyAlignment="1">
      <alignment horizontal="left" vertical="center" wrapText="1"/>
    </xf>
    <xf numFmtId="49" fontId="10" fillId="0" borderId="2" xfId="1" applyNumberFormat="1" applyFont="1" applyBorder="1" applyAlignment="1">
      <alignment horizontal="center" vertical="top" wrapText="1"/>
    </xf>
    <xf numFmtId="49" fontId="10" fillId="0" borderId="2" xfId="1" applyNumberFormat="1" applyFont="1" applyBorder="1" applyAlignment="1">
      <alignment horizontal="left" vertical="top" wrapText="1"/>
    </xf>
    <xf numFmtId="0" fontId="10" fillId="0" borderId="2" xfId="1" applyFont="1" applyBorder="1" applyAlignment="1">
      <alignment horizontal="left" vertical="top" wrapText="1"/>
    </xf>
    <xf numFmtId="4" fontId="10" fillId="0" borderId="2" xfId="1" applyNumberFormat="1" applyFont="1" applyBorder="1" applyAlignment="1">
      <alignment horizontal="right" vertical="top" wrapText="1"/>
    </xf>
    <xf numFmtId="4" fontId="11" fillId="0" borderId="0" xfId="1" applyNumberFormat="1" applyFont="1"/>
    <xf numFmtId="0" fontId="11" fillId="0" borderId="0" xfId="1" applyFont="1"/>
    <xf numFmtId="4" fontId="2" fillId="0" borderId="0" xfId="1" applyNumberFormat="1" applyFont="1"/>
    <xf numFmtId="0" fontId="4" fillId="0" borderId="0" xfId="1" applyFont="1" applyAlignment="1">
      <alignment horizontal="left"/>
    </xf>
    <xf numFmtId="1" fontId="2" fillId="3" borderId="2" xfId="1" applyNumberFormat="1" applyFont="1" applyFill="1" applyBorder="1" applyAlignment="1">
      <alignment horizontal="center" vertical="top" wrapText="1"/>
    </xf>
    <xf numFmtId="0" fontId="2" fillId="3" borderId="2" xfId="1" applyFont="1" applyFill="1" applyBorder="1" applyAlignment="1">
      <alignment horizontal="left" vertical="top" wrapText="1"/>
    </xf>
    <xf numFmtId="2" fontId="2" fillId="3" borderId="2" xfId="1" applyNumberFormat="1" applyFont="1" applyFill="1" applyBorder="1" applyAlignment="1">
      <alignment horizontal="right" vertical="top" wrapText="1"/>
    </xf>
    <xf numFmtId="4" fontId="2" fillId="3" borderId="2" xfId="1" applyNumberFormat="1" applyFont="1" applyFill="1" applyBorder="1" applyAlignment="1">
      <alignment horizontal="right" vertical="top" wrapText="1"/>
    </xf>
    <xf numFmtId="0" fontId="4" fillId="0" borderId="0" xfId="1" applyFont="1" applyAlignment="1" applyProtection="1">
      <alignment horizontal="center" vertical="center"/>
      <protection locked="0"/>
    </xf>
    <xf numFmtId="4" fontId="10" fillId="3" borderId="2" xfId="1" applyNumberFormat="1" applyFont="1" applyFill="1" applyBorder="1" applyAlignment="1">
      <alignment horizontal="right" vertical="top" wrapText="1"/>
    </xf>
    <xf numFmtId="0" fontId="4" fillId="0" borderId="7" xfId="1" applyFont="1" applyBorder="1" applyAlignment="1">
      <alignment vertical="top" wrapText="1"/>
    </xf>
    <xf numFmtId="0" fontId="4" fillId="0" borderId="2" xfId="1" applyFont="1" applyBorder="1" applyAlignment="1">
      <alignment horizontal="left" vertical="top" wrapText="1"/>
    </xf>
    <xf numFmtId="2" fontId="4" fillId="0" borderId="2" xfId="1" applyNumberFormat="1" applyFont="1" applyBorder="1" applyAlignment="1">
      <alignment horizontal="right" vertical="top"/>
    </xf>
    <xf numFmtId="0" fontId="2" fillId="0" borderId="7" xfId="1" applyFont="1" applyBorder="1" applyAlignment="1">
      <alignment horizontal="center" vertical="top" wrapText="1"/>
    </xf>
    <xf numFmtId="4" fontId="2" fillId="0" borderId="2" xfId="1" applyNumberFormat="1" applyFont="1" applyBorder="1" applyAlignment="1">
      <alignment horizontal="right" vertical="top"/>
    </xf>
    <xf numFmtId="0" fontId="4" fillId="0" borderId="8" xfId="1" applyFont="1" applyBorder="1" applyAlignment="1">
      <alignment horizontal="left" vertical="top" wrapText="1"/>
    </xf>
    <xf numFmtId="0" fontId="4" fillId="0" borderId="9" xfId="1" applyFont="1" applyBorder="1" applyAlignment="1">
      <alignment horizontal="left" vertical="top" wrapText="1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wrapText="1"/>
    </xf>
    <xf numFmtId="0" fontId="2" fillId="0" borderId="0" xfId="1" applyFont="1" applyAlignment="1">
      <alignment horizontal="left" vertical="top"/>
    </xf>
    <xf numFmtId="0" fontId="2" fillId="0" borderId="10" xfId="1" applyFont="1" applyBorder="1" applyAlignment="1">
      <alignment wrapText="1"/>
    </xf>
    <xf numFmtId="0" fontId="12" fillId="0" borderId="0" xfId="1" applyFont="1"/>
    <xf numFmtId="0" fontId="12" fillId="0" borderId="10" xfId="1" applyFont="1" applyBorder="1" applyAlignment="1">
      <alignment horizontal="center"/>
    </xf>
    <xf numFmtId="49" fontId="2" fillId="0" borderId="0" xfId="1" applyNumberFormat="1" applyFont="1" applyAlignment="1">
      <alignment horizontal="left" wrapText="1"/>
    </xf>
    <xf numFmtId="49" fontId="2" fillId="0" borderId="0" xfId="1" applyNumberFormat="1" applyFont="1" applyAlignment="1">
      <alignment horizontal="left"/>
    </xf>
    <xf numFmtId="49" fontId="2" fillId="0" borderId="0" xfId="1" applyNumberFormat="1" applyFont="1"/>
  </cellXfs>
  <cellStyles count="2">
    <cellStyle name="Обычный" xfId="0" builtinId="0"/>
    <cellStyle name="Обычный 2" xfId="1" xr:uid="{FBAF5AC4-764A-41E3-A67D-FCEA216580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B5E5-E33A-408E-B4EF-0B1FF4123936}">
  <sheetPr codeName="Лист1">
    <pageSetUpPr fitToPage="1"/>
  </sheetPr>
  <dimension ref="A1:K42"/>
  <sheetViews>
    <sheetView tabSelected="1" view="pageBreakPreview" topLeftCell="A25" zoomScale="85" zoomScaleNormal="115" zoomScaleSheetLayoutView="85" workbookViewId="0">
      <selection activeCell="F25" sqref="F25"/>
    </sheetView>
  </sheetViews>
  <sheetFormatPr defaultColWidth="9.109375" defaultRowHeight="10.199999999999999" x14ac:dyDescent="0.2"/>
  <cols>
    <col min="1" max="1" width="5.33203125" style="78" customWidth="1"/>
    <col min="2" max="2" width="31.5546875" style="78" customWidth="1"/>
    <col min="3" max="3" width="32.6640625" style="1" customWidth="1"/>
    <col min="4" max="5" width="14" style="1" customWidth="1"/>
    <col min="6" max="6" width="13" style="1" customWidth="1"/>
    <col min="7" max="7" width="78.109375" style="1" customWidth="1"/>
    <col min="8" max="16384" width="9.109375" style="1"/>
  </cols>
  <sheetData>
    <row r="1" spans="1:7" ht="13.2" x14ac:dyDescent="0.25">
      <c r="A1" s="1"/>
      <c r="B1" s="1"/>
      <c r="D1" s="2" t="s">
        <v>0</v>
      </c>
      <c r="E1" s="3"/>
      <c r="F1" s="4"/>
    </row>
    <row r="2" spans="1:7" ht="13.2" x14ac:dyDescent="0.25">
      <c r="A2" s="1"/>
      <c r="B2" s="1"/>
      <c r="D2" s="5" t="s">
        <v>1</v>
      </c>
      <c r="E2" s="6"/>
      <c r="F2" s="7"/>
    </row>
    <row r="3" spans="1:7" ht="13.2" x14ac:dyDescent="0.25">
      <c r="A3" s="1"/>
      <c r="B3" s="1"/>
      <c r="D3" s="2" t="s">
        <v>2</v>
      </c>
      <c r="E3" s="3"/>
      <c r="F3" s="4"/>
    </row>
    <row r="4" spans="1:7" ht="13.2" x14ac:dyDescent="0.25">
      <c r="A4" s="1"/>
      <c r="B4" s="1"/>
      <c r="C4" s="8"/>
      <c r="D4" s="2" t="s">
        <v>3</v>
      </c>
      <c r="E4" s="3"/>
      <c r="F4" s="4"/>
    </row>
    <row r="5" spans="1:7" ht="13.2" x14ac:dyDescent="0.25">
      <c r="A5" s="1"/>
      <c r="B5" s="1"/>
      <c r="C5" s="8"/>
      <c r="D5" s="2" t="s">
        <v>4</v>
      </c>
      <c r="E5" s="3"/>
      <c r="F5" s="4"/>
    </row>
    <row r="6" spans="1:7" ht="13.2" x14ac:dyDescent="0.25">
      <c r="A6" s="1"/>
      <c r="B6" s="9"/>
      <c r="C6" s="8"/>
      <c r="D6" s="2" t="s">
        <v>5</v>
      </c>
      <c r="E6" s="3"/>
      <c r="F6" s="4"/>
    </row>
    <row r="7" spans="1:7" ht="17.399999999999999" x14ac:dyDescent="0.3">
      <c r="A7" s="10"/>
      <c r="B7" s="10"/>
      <c r="C7" s="8"/>
      <c r="D7" s="11"/>
      <c r="E7" s="8"/>
      <c r="F7" s="10"/>
    </row>
    <row r="8" spans="1:7" ht="18" customHeight="1" x14ac:dyDescent="0.3">
      <c r="A8" s="12" t="s">
        <v>6</v>
      </c>
      <c r="B8" s="12"/>
      <c r="C8" s="12"/>
      <c r="D8" s="12"/>
      <c r="E8" s="12"/>
      <c r="F8" s="12"/>
    </row>
    <row r="9" spans="1:7" ht="15.6" x14ac:dyDescent="0.3">
      <c r="A9" s="13" t="s">
        <v>7</v>
      </c>
      <c r="B9" s="13"/>
      <c r="C9" s="13"/>
      <c r="D9" s="13"/>
      <c r="E9" s="13"/>
      <c r="F9" s="13"/>
    </row>
    <row r="10" spans="1:7" ht="15.6" x14ac:dyDescent="0.3">
      <c r="A10" s="14"/>
      <c r="B10" s="14"/>
      <c r="C10" s="14"/>
      <c r="D10" s="14"/>
      <c r="E10" s="14"/>
      <c r="F10" s="14"/>
    </row>
    <row r="11" spans="1:7" x14ac:dyDescent="0.2">
      <c r="A11" s="15" t="s">
        <v>8</v>
      </c>
      <c r="B11" s="15" t="s">
        <v>9</v>
      </c>
      <c r="C11" s="16" t="s">
        <v>10</v>
      </c>
      <c r="D11" s="17" t="s">
        <v>11</v>
      </c>
      <c r="E11" s="17"/>
      <c r="F11" s="17" t="s">
        <v>12</v>
      </c>
    </row>
    <row r="12" spans="1:7" x14ac:dyDescent="0.2">
      <c r="A12" s="18"/>
      <c r="B12" s="18"/>
      <c r="C12" s="19"/>
      <c r="D12" s="16" t="s">
        <v>13</v>
      </c>
      <c r="E12" s="20" t="s">
        <v>14</v>
      </c>
      <c r="F12" s="17"/>
    </row>
    <row r="13" spans="1:7" x14ac:dyDescent="0.2">
      <c r="A13" s="21"/>
      <c r="B13" s="21"/>
      <c r="C13" s="22"/>
      <c r="D13" s="22"/>
      <c r="E13" s="23"/>
      <c r="F13" s="17"/>
    </row>
    <row r="14" spans="1:7" x14ac:dyDescent="0.2">
      <c r="A14" s="24">
        <v>1</v>
      </c>
      <c r="B14" s="24">
        <v>2</v>
      </c>
      <c r="C14" s="25">
        <v>3</v>
      </c>
      <c r="D14" s="25">
        <v>4</v>
      </c>
      <c r="E14" s="25">
        <v>5</v>
      </c>
      <c r="F14" s="25">
        <v>6</v>
      </c>
    </row>
    <row r="15" spans="1:7" ht="12" x14ac:dyDescent="0.2">
      <c r="A15" s="26" t="s">
        <v>15</v>
      </c>
      <c r="B15" s="27"/>
      <c r="C15" s="27"/>
      <c r="D15" s="27"/>
      <c r="E15" s="27"/>
      <c r="F15" s="28"/>
      <c r="G15" s="29"/>
    </row>
    <row r="16" spans="1:7" x14ac:dyDescent="0.2">
      <c r="A16" s="24" t="s">
        <v>16</v>
      </c>
      <c r="B16" s="30" t="s">
        <v>17</v>
      </c>
      <c r="C16" s="31" t="s">
        <v>18</v>
      </c>
      <c r="D16" s="32">
        <v>6075.3499567602039</v>
      </c>
      <c r="E16" s="33"/>
      <c r="F16" s="32">
        <v>6075.3499567602039</v>
      </c>
      <c r="G16" s="34"/>
    </row>
    <row r="17" spans="1:11" x14ac:dyDescent="0.2">
      <c r="A17" s="35"/>
      <c r="B17" s="36" t="s">
        <v>19</v>
      </c>
      <c r="C17" s="37"/>
      <c r="D17" s="38">
        <v>6075.3499567602039</v>
      </c>
      <c r="E17" s="39"/>
      <c r="F17" s="40">
        <v>6075.3499567602039</v>
      </c>
      <c r="G17" s="29"/>
    </row>
    <row r="18" spans="1:11" x14ac:dyDescent="0.2">
      <c r="A18" s="41"/>
      <c r="B18" s="36" t="s">
        <v>20</v>
      </c>
      <c r="C18" s="37"/>
      <c r="D18" s="42">
        <v>6075.3499567602039</v>
      </c>
      <c r="E18" s="43"/>
      <c r="F18" s="43">
        <v>6075.3499567602039</v>
      </c>
    </row>
    <row r="19" spans="1:11" ht="12" x14ac:dyDescent="0.2">
      <c r="A19" s="26" t="s">
        <v>21</v>
      </c>
      <c r="B19" s="27"/>
      <c r="C19" s="27"/>
      <c r="D19" s="27"/>
      <c r="E19" s="27"/>
      <c r="F19" s="28"/>
    </row>
    <row r="20" spans="1:11" x14ac:dyDescent="0.2">
      <c r="A20" s="24" t="s">
        <v>22</v>
      </c>
      <c r="B20" s="30" t="s">
        <v>23</v>
      </c>
      <c r="C20" s="31" t="s">
        <v>24</v>
      </c>
      <c r="D20" s="33"/>
      <c r="E20" s="32">
        <v>1516.4470531147542</v>
      </c>
      <c r="F20" s="32">
        <v>1516.4470531147542</v>
      </c>
    </row>
    <row r="21" spans="1:11" x14ac:dyDescent="0.2">
      <c r="A21" s="24" t="s">
        <v>25</v>
      </c>
      <c r="B21" s="30"/>
      <c r="C21" s="31" t="s">
        <v>26</v>
      </c>
      <c r="D21" s="33"/>
      <c r="E21" s="44">
        <v>3.0328941062295085</v>
      </c>
      <c r="F21" s="44">
        <v>3.0328941062295085</v>
      </c>
    </row>
    <row r="22" spans="1:11" x14ac:dyDescent="0.2">
      <c r="A22" s="35"/>
      <c r="B22" s="36" t="s">
        <v>27</v>
      </c>
      <c r="C22" s="37"/>
      <c r="D22" s="45"/>
      <c r="E22" s="40">
        <v>1519.4799472209838</v>
      </c>
      <c r="F22" s="40">
        <v>1519.4799472209838</v>
      </c>
    </row>
    <row r="23" spans="1:11" x14ac:dyDescent="0.2">
      <c r="A23" s="35"/>
      <c r="B23" s="36" t="s">
        <v>28</v>
      </c>
      <c r="C23" s="37"/>
      <c r="D23" s="38">
        <v>6075.3499567602039</v>
      </c>
      <c r="E23" s="40">
        <v>1519.4799472209838</v>
      </c>
      <c r="F23" s="40">
        <v>7594.8299039811882</v>
      </c>
    </row>
    <row r="24" spans="1:11" ht="12" x14ac:dyDescent="0.2">
      <c r="A24" s="46" t="s">
        <v>29</v>
      </c>
      <c r="B24" s="47"/>
      <c r="C24" s="47"/>
      <c r="D24" s="47"/>
      <c r="E24" s="47"/>
      <c r="F24" s="48"/>
    </row>
    <row r="25" spans="1:11" ht="20.399999999999999" x14ac:dyDescent="0.2">
      <c r="A25" s="49" t="s">
        <v>30</v>
      </c>
      <c r="B25" s="50" t="s">
        <v>31</v>
      </c>
      <c r="C25" s="51" t="s">
        <v>32</v>
      </c>
      <c r="D25" s="52">
        <v>2025.12</v>
      </c>
      <c r="E25" s="52">
        <v>506.49</v>
      </c>
      <c r="F25" s="52">
        <v>2531.61</v>
      </c>
      <c r="G25" s="53"/>
    </row>
    <row r="26" spans="1:11" x14ac:dyDescent="0.2">
      <c r="A26" s="49" t="s">
        <v>33</v>
      </c>
      <c r="B26" s="50" t="s">
        <v>34</v>
      </c>
      <c r="C26" s="51" t="s">
        <v>35</v>
      </c>
      <c r="D26" s="52">
        <v>1782.1</v>
      </c>
      <c r="E26" s="52">
        <v>445.71</v>
      </c>
      <c r="F26" s="52">
        <v>2227.8200000000002</v>
      </c>
      <c r="G26" s="54"/>
    </row>
    <row r="27" spans="1:11" x14ac:dyDescent="0.2">
      <c r="A27" s="35"/>
      <c r="B27" s="36" t="s">
        <v>36</v>
      </c>
      <c r="C27" s="37"/>
      <c r="D27" s="38">
        <v>3807.22</v>
      </c>
      <c r="E27" s="38">
        <v>952.2</v>
      </c>
      <c r="F27" s="40">
        <v>4759.43</v>
      </c>
      <c r="K27" s="55"/>
    </row>
    <row r="28" spans="1:11" x14ac:dyDescent="0.2">
      <c r="A28" s="35"/>
      <c r="B28" s="36" t="s">
        <v>37</v>
      </c>
      <c r="C28" s="37"/>
      <c r="D28" s="38">
        <v>9882.5699567602041</v>
      </c>
      <c r="E28" s="38">
        <v>2471.6799472209841</v>
      </c>
      <c r="F28" s="40">
        <v>12354.259903981188</v>
      </c>
      <c r="J28" s="55"/>
    </row>
    <row r="29" spans="1:11" ht="12" x14ac:dyDescent="0.2">
      <c r="A29" s="26" t="s">
        <v>38</v>
      </c>
      <c r="B29" s="27"/>
      <c r="C29" s="27"/>
      <c r="D29" s="27"/>
      <c r="E29" s="27"/>
      <c r="F29" s="28"/>
      <c r="G29" s="56" t="s">
        <v>39</v>
      </c>
      <c r="J29" s="55"/>
      <c r="K29" s="55"/>
    </row>
    <row r="30" spans="1:11" ht="48" customHeight="1" x14ac:dyDescent="0.2">
      <c r="A30" s="57">
        <v>6</v>
      </c>
      <c r="B30" s="58" t="s">
        <v>40</v>
      </c>
      <c r="C30" s="58" t="s">
        <v>41</v>
      </c>
      <c r="D30" s="59"/>
      <c r="E30" s="59"/>
      <c r="F30" s="60">
        <v>4.7346499999999994</v>
      </c>
      <c r="G30" s="61" t="s">
        <v>48</v>
      </c>
    </row>
    <row r="31" spans="1:11" ht="46.5" customHeight="1" x14ac:dyDescent="0.2">
      <c r="A31" s="57">
        <v>7</v>
      </c>
      <c r="B31" s="58" t="s">
        <v>40</v>
      </c>
      <c r="C31" s="58" t="s">
        <v>42</v>
      </c>
      <c r="D31" s="59"/>
      <c r="E31" s="59"/>
      <c r="F31" s="62">
        <v>12.267430000000001</v>
      </c>
      <c r="G31" s="61" t="s">
        <v>49</v>
      </c>
    </row>
    <row r="32" spans="1:11" ht="25.5" customHeight="1" x14ac:dyDescent="0.2">
      <c r="A32" s="63"/>
      <c r="B32" s="64" t="s">
        <v>43</v>
      </c>
      <c r="C32" s="64"/>
      <c r="D32" s="38"/>
      <c r="E32" s="65"/>
      <c r="F32" s="40">
        <v>17.002079999999999</v>
      </c>
    </row>
    <row r="33" spans="1:6" x14ac:dyDescent="0.2">
      <c r="A33" s="66">
        <v>8</v>
      </c>
      <c r="B33" s="50" t="s">
        <v>34</v>
      </c>
      <c r="C33" s="51" t="s">
        <v>35</v>
      </c>
      <c r="D33" s="38"/>
      <c r="E33" s="65"/>
      <c r="F33" s="67">
        <v>3.7404576</v>
      </c>
    </row>
    <row r="34" spans="1:6" ht="37.5" customHeight="1" x14ac:dyDescent="0.2">
      <c r="A34" s="63"/>
      <c r="B34" s="68" t="s">
        <v>44</v>
      </c>
      <c r="C34" s="69"/>
      <c r="D34" s="38"/>
      <c r="E34" s="65"/>
      <c r="F34" s="40">
        <v>20.742537599999999</v>
      </c>
    </row>
    <row r="35" spans="1:6" x14ac:dyDescent="0.2">
      <c r="A35" s="35"/>
      <c r="B35" s="36" t="s">
        <v>45</v>
      </c>
      <c r="C35" s="37"/>
      <c r="D35" s="38"/>
      <c r="E35" s="40"/>
      <c r="F35" s="40">
        <v>12375.002441581188</v>
      </c>
    </row>
    <row r="36" spans="1:6" x14ac:dyDescent="0.2">
      <c r="A36" s="1"/>
      <c r="B36" s="1"/>
    </row>
    <row r="37" spans="1:6" ht="12" x14ac:dyDescent="0.2">
      <c r="A37" s="1"/>
      <c r="B37" s="70"/>
      <c r="E37" s="70"/>
    </row>
    <row r="38" spans="1:6" ht="12" x14ac:dyDescent="0.25">
      <c r="A38" s="1"/>
      <c r="B38" s="70"/>
      <c r="E38" s="71"/>
    </row>
    <row r="39" spans="1:6" x14ac:dyDescent="0.2">
      <c r="A39" s="72"/>
      <c r="B39" s="1"/>
      <c r="D39" s="72"/>
      <c r="E39" s="72"/>
      <c r="F39" s="72"/>
    </row>
    <row r="40" spans="1:6" ht="51" x14ac:dyDescent="0.2">
      <c r="A40" s="1"/>
      <c r="B40" s="73" t="s">
        <v>46</v>
      </c>
      <c r="C40" s="74"/>
      <c r="D40" s="75"/>
      <c r="E40" s="75"/>
      <c r="F40" s="74"/>
    </row>
    <row r="41" spans="1:6" x14ac:dyDescent="0.2">
      <c r="A41" s="72"/>
      <c r="B41" s="1"/>
      <c r="D41" s="72"/>
      <c r="E41" s="72"/>
      <c r="F41" s="72"/>
    </row>
    <row r="42" spans="1:6" ht="100.5" customHeight="1" x14ac:dyDescent="0.2">
      <c r="A42" s="76" t="s">
        <v>47</v>
      </c>
      <c r="B42" s="77"/>
      <c r="C42" s="77"/>
      <c r="D42" s="77"/>
      <c r="E42" s="77"/>
      <c r="F42" s="77"/>
    </row>
  </sheetData>
  <mergeCells count="24">
    <mergeCell ref="B35:C35"/>
    <mergeCell ref="D40:E40"/>
    <mergeCell ref="A42:F42"/>
    <mergeCell ref="A24:F24"/>
    <mergeCell ref="B27:C27"/>
    <mergeCell ref="B28:C28"/>
    <mergeCell ref="A29:F29"/>
    <mergeCell ref="B32:C32"/>
    <mergeCell ref="B34:C34"/>
    <mergeCell ref="A15:F15"/>
    <mergeCell ref="B17:C17"/>
    <mergeCell ref="B18:C18"/>
    <mergeCell ref="A19:F19"/>
    <mergeCell ref="B22:C22"/>
    <mergeCell ref="B23:C23"/>
    <mergeCell ref="A8:F8"/>
    <mergeCell ref="A9:F9"/>
    <mergeCell ref="A11:A13"/>
    <mergeCell ref="B11:B13"/>
    <mergeCell ref="C11:C13"/>
    <mergeCell ref="D11:E11"/>
    <mergeCell ref="F11:F13"/>
    <mergeCell ref="D12:D13"/>
    <mergeCell ref="E12:E13"/>
  </mergeCells>
  <dataValidations count="1">
    <dataValidation type="list" allowBlank="1" showInputMessage="1" showErrorMessage="1" sqref="G16 G30:G31" xr:uid="{79DC0498-4EDE-4A6F-ABD9-C8D847CC8B60}">
      <formula1>#REF!</formula1>
    </dataValidation>
  </dataValidations>
  <printOptions horizontalCentered="1"/>
  <pageMargins left="0.31496062992125984" right="0.31496062992125984" top="0.55118110236220474" bottom="0.35433070866141736" header="0.31496062992125984" footer="0.31496062992125984"/>
  <pageSetup paperSize="9" scale="88" fitToHeight="0" orientation="portrait" r:id="rId1"/>
  <headerFooter>
    <oddFooter>&amp;R&amp;8Страница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Итоги</vt:lpstr>
      <vt:lpstr>Итоги!Заголовки_для_печати</vt:lpstr>
      <vt:lpstr>Итоги!Область_печати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Инсаф Сафин</dc:creator>
  <cp:lastModifiedBy>Инсаф Сафин</cp:lastModifiedBy>
  <dcterms:created xsi:type="dcterms:W3CDTF">2026-10-16T23:13:31Z</dcterms:created>
  <dcterms:modified xsi:type="dcterms:W3CDTF">2026-10-16T23:13:31Z</dcterms:modified>
</cp:coreProperties>
</file>